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338da9f7f9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SSUPOST" sheetId="1" r:id="Rb5cfbe00577d4b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0.00"/>
    <x:numFmt numFmtId="202" formatCode="#,##0.00 €"/>
    <x:numFmt numFmtId="203" formatCode="@"/>
  </x:numFmts>
  <x:fonts count="9">
    <x:font>
      <x:sz val="11"/>
      <x:name val="Carlito"/>
    </x:font>
    <x:font>
      <x:b/>
      <x:sz val="15"/>
      <x:color rgb="FFFFFFFF"/>
      <x:name val="Carlito"/>
    </x:font>
    <x:font>
      <x:b/>
      <x:sz val="10"/>
      <x:color rgb="FFFFFFFF"/>
      <x:name val="Carlito"/>
    </x:font>
    <x:font>
      <x:b/>
      <x:sz val="12"/>
      <x:color rgb="FFFFFFFF"/>
      <x:name val="Carlito"/>
    </x:font>
    <x:font>
      <x:b/>
      <x:sz val="11"/>
      <x:color rgb="FF1F2A60"/>
      <x:name val="Carlito"/>
    </x:font>
    <x:font>
      <x:sz val="11"/>
      <x:color rgb="FF111827"/>
      <x:name val="Carlito"/>
    </x:font>
    <x:font>
      <x:b/>
      <x:sz val="11"/>
      <x:color rgb="FF111827"/>
      <x:name val="Carlito"/>
    </x:font>
    <x:font>
      <x:b/>
      <x:sz val="11"/>
      <x:name val="Carlito"/>
    </x:font>
    <x:font>
      <x:i/>
      <x:sz val="11"/>
      <x:color rgb="FF6B728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5062AD"/>
      </x:patternFill>
    </x:fill>
    <x:fill>
      <x:patternFill patternType="solid">
        <x:fgColor rgb="FFEEF2FF"/>
      </x:patternFill>
    </x:fill>
    <x:fill>
      <x:patternFill patternType="solid">
        <x:fgColor rgb="FFE5E7EB"/>
      </x:patternFill>
    </x:fill>
    <x:fill>
      <x:patternFill patternType="solid">
        <x:fgColor rgb="FFFEFCE8"/>
      </x:patternFill>
    </x:fill>
    <x:fill>
      <x:patternFill patternType="solid">
        <x:fgColor rgb="FFF3F4F6"/>
      </x:patternFill>
    </x:fill>
    <x:fill>
      <x:patternFill patternType="solid">
        <x:fgColor rgb="FFF9FAFB"/>
      </x:patternFill>
    </x:fill>
  </x:fills>
  <x:borders count="2">
    <x:border/>
    <x:border/>
  </x:borders>
  <x:cellStyleXfs count="1">
    <x:xf numFmtId="0" fontId="0" fillId="0" borderId="0"/>
  </x:cellStyleXfs>
  <x:cellXfs count="10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1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200" fontId="2" fillId="3" borderId="0" xfId="0" applyNumberFormat="1" applyFont="1" applyFill="1" applyBorder="1"/>
    <x:xf numFmtId="20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left"/>
    </x:xf>
    <x:xf numFmtId="0" fontId="3" fillId="3" borderId="0" xfId="0" applyNumberFormat="1" applyFont="1" applyFill="1" applyBorder="1" applyAlignment="1">
      <x:alignment horizontal="left"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left"/>
    </x:xf>
    <x:xf numFmtId="0" fontId="3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5" fillId="2" borderId="0" xfId="0" applyNumberFormat="1" applyFont="1" applyFill="1" applyBorder="1"/>
    <x:xf numFmtId="0" fontId="6" fillId="4" borderId="0" xfId="0" applyNumberFormat="1" applyFont="1" applyFill="1" applyBorder="1"/>
    <x:xf numFmtId="0" fontId="5" fillId="0" borderId="0" xfId="0" applyNumberFormat="1" applyFont="1" applyFill="1" applyBorder="1"/>
    <x:xf numFmtId="0" fontId="6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4" borderId="1" xfId="0" applyNumberFormat="1" applyFont="1" applyFill="1" applyBorder="1"/>
    <x:xf numFmtId="0" fontId="5" fillId="0" borderId="1" xfId="0" applyNumberFormat="1" applyFont="1" applyFill="1" applyBorder="1"/>
    <x:xf numFmtId="0" fontId="6" fillId="2" borderId="1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0" fillId="2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7" borderId="1" xfId="0" applyNumberFormat="1" applyFont="1" applyFill="1" applyBorder="1" applyAlignment="1">
      <x:alignment vertical="top" wrapText="1"/>
    </x:xf>
    <x:xf numFmtId="201" fontId="0" fillId="6" borderId="0" xfId="0" applyNumberFormat="1" applyFont="1" applyFill="1" applyBorder="1" applyAlignment="1">
      <x:alignment vertical="top" wrapText="1"/>
    </x:xf>
    <x:xf numFmtId="201" fontId="0" fillId="6" borderId="1" xfId="0" applyNumberFormat="1" applyFont="1" applyFill="1" applyBorder="1" applyAlignment="1">
      <x:alignment vertical="top" wrapText="1"/>
    </x:xf>
    <x:xf numFmtId="202" fontId="0" fillId="6" borderId="0" xfId="0" applyNumberFormat="1" applyFont="1" applyFill="1" applyBorder="1" applyAlignment="1">
      <x:alignment vertical="top" wrapText="1"/>
    </x:xf>
    <x:xf numFmtId="202" fontId="0" fillId="6" borderId="1" xfId="0" applyNumberFormat="1" applyFont="1" applyFill="1" applyBorder="1" applyAlignment="1">
      <x:alignment vertical="top" wrapText="1"/>
    </x:xf>
    <x:xf numFmtId="202" fontId="7" fillId="7" borderId="0" xfId="0" applyNumberFormat="1" applyFont="1" applyFill="1" applyBorder="1" applyAlignment="1">
      <x:alignment vertical="top" wrapText="1"/>
    </x:xf>
    <x:xf numFmtId="202" fontId="7" fillId="7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6" borderId="0" xfId="0" applyNumberFormat="1" applyFont="1" applyFill="1" applyBorder="1" applyAlignment="1">
      <x:alignment vertical="top" wrapText="1"/>
    </x:xf>
    <x:xf numFmtId="200" fontId="0" fillId="6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3" fontId="0" fillId="2" borderId="0" xfId="0" applyNumberFormat="1" applyFont="1" applyFill="1" applyBorder="1" applyAlignment="1">
      <x:alignment vertical="top" wrapText="1"/>
    </x:xf>
    <x:xf numFmtId="203" fontId="0" fillId="2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0" fillId="6" borderId="0" xfId="0" applyNumberFormat="1" applyFont="1" applyFill="1" applyBorder="1"/>
    <x:xf numFmtId="200" fontId="0" fillId="6" borderId="1" xfId="0" applyNumberFormat="1" applyFont="1" applyFill="1" applyBorder="1"/>
    <x:xf numFmtId="202" fontId="0" fillId="8" borderId="0" xfId="0" applyNumberFormat="1" applyFont="1" applyFill="1" applyBorder="1"/>
    <x:xf numFmtId="202" fontId="0" fillId="8" borderId="1" xfId="0" applyNumberFormat="1" applyFont="1" applyFill="1" applyBorder="1"/>
    <x:xf numFmtId="202" fontId="7" fillId="8" borderId="0" xfId="0" applyNumberFormat="1" applyFont="1" applyFill="1" applyBorder="1"/>
    <x:xf numFmtId="202" fontId="7" fillId="8" borderId="1" xfId="0" applyNumberFormat="1" applyFont="1" applyFill="1" applyBorder="1"/>
    <x:xf numFmtId="0" fontId="4" fillId="3" borderId="0" xfId="0" applyNumberFormat="1" applyFont="1" applyFill="1" applyBorder="1"/>
    <x:xf numFmtId="200" fontId="0" fillId="3" borderId="0" xfId="0" applyNumberFormat="1" applyFont="1" applyFill="1" applyBorder="1"/>
    <x:xf numFmtId="202" fontId="7" fillId="3" borderId="0" xfId="0" applyNumberFormat="1" applyFont="1" applyFill="1" applyBorder="1"/>
    <x:xf numFmtId="0" fontId="4" fillId="3" borderId="1" xfId="0" applyNumberFormat="1" applyFont="1" applyFill="1" applyBorder="1"/>
    <x:xf numFmtId="200" fontId="0" fillId="3" borderId="1" xfId="0" applyNumberFormat="1" applyFont="1" applyFill="1" applyBorder="1"/>
    <x:xf numFmtId="202" fontId="7" fillId="3" borderId="1" xfId="0" applyNumberFormat="1" applyFont="1" applyFill="1" applyBorder="1"/>
    <x:xf numFmtId="200" fontId="3" fillId="3" borderId="0" xfId="0" applyNumberFormat="1" applyFont="1" applyFill="1" applyBorder="1"/>
    <x:xf numFmtId="202" fontId="3" fillId="3" borderId="0" xfId="0" applyNumberFormat="1" applyFont="1" applyFill="1" applyBorder="1"/>
    <x:xf numFmtId="200" fontId="3" fillId="3" borderId="1" xfId="0" applyNumberFormat="1" applyFont="1" applyFill="1" applyBorder="1"/>
    <x:xf numFmtId="202" fontId="3" fillId="3" borderId="1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8" fillId="7" borderId="0" xfId="0" applyNumberFormat="1" applyFont="1" applyFill="1" applyBorder="1"/>
    <x:xf numFmtId="0" fontId="8" fillId="7" borderId="1" xfId="0" applyNumberFormat="1" applyFont="1" applyFill="1" applyBorder="1"/>
    <x:xf numFmtId="0" fontId="8" fillId="7" borderId="0" xfId="0" applyNumberFormat="1" applyFont="1" applyFill="1" applyBorder="1" applyAlignment="1">
      <x:alignment horizontal="center"/>
    </x:xf>
    <x:xf numFmtId="0" fontId="8" fillId="7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ceed8df5f84933" /><Relationship Type="http://schemas.openxmlformats.org/officeDocument/2006/relationships/theme" Target="/xl/theme/theme1.xml" Id="R6dd853aeafd14996" /><Relationship Type="http://schemas.openxmlformats.org/officeDocument/2006/relationships/sharedStrings" Target="/xl/sharedStrings.xml" Id="R35ec25ef2a634483" /><Relationship Type="http://schemas.openxmlformats.org/officeDocument/2006/relationships/worksheet" Target="/xl/worksheets/sheet1.xml" Id="Rb5cfbe00577d4b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e62cb034a4694dab" /></Relationships>
</file>

<file path=xl/drawings/drawing1.xml><?xml version="1.0" encoding="utf-8"?>
<xdr:wsDr xmlns:xdr="http://schemas.openxmlformats.org/drawingml/2006/spreadsheetDrawing">
  <xdr:oneCellAnchor>
    <xdr:from>
      <xdr:col>0</xdr:col>
      <xdr:colOff>57150</xdr:colOff>
      <xdr:row>0</xdr:row>
      <xdr:rowOff>38100</xdr:rowOff>
    </xdr:from>
    <xdr:ext cx="2857500" cy="647700"/>
    <xdr:pic>
      <xdr:nvPicPr>
        <xdr:cNvPr id="1" name="69010ffb-c08a-4116-a91b-67e068f4d4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2cb034a4694d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c71149b19674d00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5" hidden="0" customWidth="1"/>
    <x:col min="3" max="3" width="34" hidden="0" customWidth="1"/>
    <x:col min="4" max="4" width="11" hidden="0" customWidth="1"/>
    <x:col min="5" max="5" width="10" hidden="0" customWidth="1"/>
    <x:col min="6" max="6" width="13" hidden="0" customWidth="1"/>
    <x:col min="7" max="7" width="12" hidden="0" customWidth="1"/>
    <x:col min="8" max="8" width="13" hidden="0" customWidth="1"/>
    <x:col min="9" max="9" width="18" hidden="0" customWidth="1"/>
  </x:cols>
  <x:sheetData>
    <x:row r="1" ht="28" customHeight="1">
      <x:c r="A1" s="2"/>
      <x:c r="B1" s="2"/>
      <x:c r="C1" s="2"/>
      <x:c r="D1" s="2"/>
      <x:c r="E1" s="2"/>
      <x:c r="F1" s="10" t="str">
        <x:v>PRESSUPOST DE CLIMATITZACIÓ</x:v>
      </x:c>
      <x:c r="G1" s="10"/>
      <x:c r="H1" s="10"/>
      <x:c r="I1" s="10"/>
    </x:row>
    <x:row r="2" ht="26" customHeight="1">
      <x:c r="A2" s="2"/>
      <x:c r="B2" s="2"/>
      <x:c r="C2" s="2"/>
      <x:c r="D2" s="2"/>
      <x:c r="E2" s="2"/>
      <x:c r="F2" s="10" t="str">
        <x:v>INSTAL·LACIONS BURGAS</x:v>
      </x:c>
      <x:c r="G2" s="10"/>
      <x:c r="H2" s="10"/>
      <x:c r="I2" s="10"/>
    </x:row>
    <x:row r="3" ht="22" customHeight="1">
      <x:c r="A3" s="2"/>
      <x:c r="B3" s="2"/>
      <x:c r="C3" s="2"/>
      <x:c r="D3" s="2"/>
      <x:c r="E3" s="2"/>
      <x:c r="F3" s="12" t="str">
        <x:v>Núm.</x:v>
      </x:c>
      <x:c r="G3" s="12" t="str"/>
      <x:c r="H3" s="12" t="str">
        <x:v>Data</x:v>
      </x:c>
      <x:c r="I3" s="12" t="str"/>
    </x:row>
    <x:row r="4" ht="22" customHeight="1">
      <x:c r="A4" s="2"/>
      <x:c r="B4" s="2"/>
      <x:c r="C4" s="2"/>
      <x:c r="D4" s="2"/>
      <x:c r="E4" s="2"/>
      <x:c r="F4" s="12" t="str">
        <x:v>Estat</x:v>
      </x:c>
      <x:c r="G4" s="12" t="str">
        <x:v>Pendent de revisió</x:v>
      </x:c>
      <x:c r="H4" s="12" t="str">
        <x:v>IVA</x:v>
      </x:c>
      <x:c r="I4" s="14" t="n">
        <x:f>H72</x:f>
        <x:v>0.21</x:v>
      </x:c>
    </x:row>
    <x:row r="5" ht="20" customHeight="1"/>
    <x:row r="6" ht="24" customHeight="1">
      <x:c r="A6" s="18" t="str">
        <x:v>DADES DEL CLIENT I INSTAL·LACIÓ</x:v>
      </x:c>
    </x:row>
    <x:row r="7" ht="20" customHeight="1">
      <x:c r="A7" s="24" t="str">
        <x:v>Client</x:v>
      </x:c>
      <x:c r="B7" s="28" t="str"/>
      <x:c r="C7" s="28" t="str"/>
      <x:c r="D7" s="28" t="str"/>
      <x:c r="E7" s="29" t="str">
        <x:v>Empresa</x:v>
      </x:c>
      <x:c r="F7" s="28" t="str"/>
      <x:c r="G7" s="28" t="str"/>
      <x:c r="H7" s="28" t="str"/>
      <x:c r="I7" s="28" t="str"/>
    </x:row>
    <x:row r="8" ht="20" customHeight="1">
      <x:c r="A8" s="24" t="str">
        <x:v>Telèfon</x:v>
      </x:c>
      <x:c r="B8" s="28" t="str"/>
      <x:c r="C8" s="28" t="str"/>
      <x:c r="D8" s="28" t="str"/>
      <x:c r="E8" s="29" t="str">
        <x:v>Email</x:v>
      </x:c>
      <x:c r="F8" s="28" t="str"/>
      <x:c r="G8" s="28" t="str"/>
      <x:c r="H8" s="28" t="str"/>
      <x:c r="I8" s="28" t="str"/>
    </x:row>
    <x:row r="9" ht="20" customHeight="1">
      <x:c r="A9" s="24" t="str">
        <x:v>Direcció</x:v>
      </x:c>
      <x:c r="B9" s="28" t="str"/>
      <x:c r="C9" s="28" t="str"/>
      <x:c r="D9" s="28" t="str"/>
      <x:c r="E9" s="30" t="str"/>
      <x:c r="F9" s="28" t="str"/>
      <x:c r="G9" s="28" t="str"/>
      <x:c r="H9" s="28" t="str"/>
      <x:c r="I9" s="28" t="str"/>
    </x:row>
    <x:row r="10" ht="20" customHeight="1">
      <x:c r="A10" s="24" t="str">
        <x:v>Tipus instal·lació</x:v>
      </x:c>
      <x:c r="B10" s="28" t="str"/>
      <x:c r="C10" s="28" t="str"/>
      <x:c r="D10" s="28" t="str"/>
      <x:c r="E10" s="29" t="str">
        <x:v>Marca</x:v>
      </x:c>
      <x:c r="F10" s="28" t="str"/>
      <x:c r="G10" s="31" t="str">
        <x:v>Gamma</x:v>
      </x:c>
      <x:c r="H10" s="28" t="str"/>
      <x:c r="I10" s="28" t="str"/>
    </x:row>
    <x:row r="11" ht="20" customHeight="1">
      <x:c r="A11" s="24" t="str">
        <x:v>Unitats</x:v>
      </x:c>
      <x:c r="B11" s="28" t="str"/>
      <x:c r="C11" s="31" t="str">
        <x:v>Superfície m²</x:v>
      </x:c>
      <x:c r="D11" s="28" t="str"/>
      <x:c r="E11" s="29" t="str">
        <x:v>Metres tuberia</x:v>
      </x:c>
      <x:c r="F11" s="28" t="str"/>
      <x:c r="G11" s="31" t="str">
        <x:v>Data visita</x:v>
      </x:c>
      <x:c r="H11" s="28" t="str"/>
      <x:c r="I11" s="28" t="str"/>
    </x:row>
    <x:row r="12" ht="20" customHeight="1">
      <x:c r="A12" s="24" t="str">
        <x:v>Observacions</x:v>
      </x:c>
      <x:c r="B12" s="36" t="str"/>
      <x:c r="C12" s="36" t="str"/>
      <x:c r="D12" s="36" t="str"/>
      <x:c r="E12" s="37" t="str"/>
      <x:c r="F12" s="36" t="str"/>
      <x:c r="G12" s="36" t="str"/>
      <x:c r="H12" s="36" t="str"/>
      <x:c r="I12" s="36" t="str"/>
    </x:row>
    <x:row r="13" ht="20" customHeight="1"/>
    <x:row r="14" ht="24" customHeight="1">
      <x:c r="A14" s="18" t="str">
        <x:v>EQUIP PRINCIPAL</x:v>
      </x:c>
    </x:row>
    <x:row r="15" ht="20" customHeight="1">
      <x:c r="A15" s="46" t="str">
        <x:v>Tipus</x:v>
      </x:c>
      <x:c r="B15" s="46" t="str">
        <x:v>Codi / Ref.</x:v>
      </x:c>
      <x:c r="C15" s="46" t="str">
        <x:v>Descripció</x:v>
      </x:c>
      <x:c r="D15" s="46" t="str">
        <x:v>Quant.</x:v>
      </x:c>
      <x:c r="E15" s="46" t="str">
        <x:v>Unitat</x:v>
      </x:c>
      <x:c r="F15" s="46" t="str">
        <x:v>Preu unit.</x:v>
      </x:c>
      <x:c r="G15" s="46" t="str">
        <x:v>Desc. %</x:v>
      </x:c>
      <x:c r="H15" s="46" t="str">
        <x:v>Total</x:v>
      </x:c>
      <x:c r="I15" s="46" t="str">
        <x:v>Notes</x:v>
      </x:c>
    </x:row>
    <x:row r="16" ht="20" customHeight="1">
      <x:c r="A16" s="73"/>
      <x:c r="B16" s="73"/>
      <x:c r="C16" s="73"/>
      <x:c r="D16" s="61"/>
      <x:c r="E16" s="55"/>
      <x:c r="F16" s="63"/>
      <x:c r="G16" s="69"/>
      <x:c r="H16" s="65" t="str">
        <x:f>IF(OR(D16="",F16=""),"",ROUND(D16*F16*(1-IF(G16="",0,G16)),2))</x:f>
      </x:c>
      <x:c r="I16" s="73"/>
    </x:row>
    <x:row r="17" ht="20" customHeight="1">
      <x:c r="A17" s="73"/>
      <x:c r="B17" s="73"/>
      <x:c r="C17" s="73"/>
      <x:c r="D17" s="61"/>
      <x:c r="E17" s="55"/>
      <x:c r="F17" s="63"/>
      <x:c r="G17" s="69"/>
      <x:c r="H17" s="65" t="str">
        <x:f>IF(OR(D17="",F17=""),"",ROUND(D17*F17*(1-IF(G17="",0,G17)),2))</x:f>
      </x:c>
      <x:c r="I17" s="73"/>
    </x:row>
    <x:row r="18" ht="20" customHeight="1">
      <x:c r="A18" s="73"/>
      <x:c r="B18" s="73"/>
      <x:c r="C18" s="73"/>
      <x:c r="D18" s="61"/>
      <x:c r="E18" s="55"/>
      <x:c r="F18" s="63"/>
      <x:c r="G18" s="69"/>
      <x:c r="H18" s="65" t="str">
        <x:f>IF(OR(D18="",F18=""),"",ROUND(D18*F18*(1-IF(G18="",0,G18)),2))</x:f>
      </x:c>
      <x:c r="I18" s="73"/>
    </x:row>
    <x:row r="19" ht="20" customHeight="1">
      <x:c r="A19" s="73"/>
      <x:c r="B19" s="73"/>
      <x:c r="C19" s="73"/>
      <x:c r="D19" s="61"/>
      <x:c r="E19" s="55"/>
      <x:c r="F19" s="63"/>
      <x:c r="G19" s="69"/>
      <x:c r="H19" s="65" t="str">
        <x:f>IF(OR(D19="",F19=""),"",ROUND(D19*F19*(1-IF(G19="",0,G19)),2))</x:f>
      </x:c>
      <x:c r="I19" s="73"/>
    </x:row>
    <x:row r="20" ht="20" customHeight="1">
      <x:c r="A20" s="73"/>
      <x:c r="B20" s="73"/>
      <x:c r="C20" s="73"/>
      <x:c r="D20" s="61"/>
      <x:c r="E20" s="55"/>
      <x:c r="F20" s="63"/>
      <x:c r="G20" s="69"/>
      <x:c r="H20" s="65" t="str">
        <x:f>IF(OR(D20="",F20=""),"",ROUND(D20*F20*(1-IF(G20="",0,G20)),2))</x:f>
      </x:c>
      <x:c r="I20" s="73"/>
    </x:row>
    <x:row r="21" ht="20" customHeight="1"/>
    <x:row r="22" ht="24" customHeight="1">
      <x:c r="A22" s="18" t="str">
        <x:v>MATERIALS COMPLEMENTARIS</x:v>
      </x:c>
    </x:row>
    <x:row r="23" ht="20" customHeight="1">
      <x:c r="A23" s="46" t="str">
        <x:v>Tipus</x:v>
      </x:c>
      <x:c r="B23" s="46" t="str">
        <x:v>Codi / Ref.</x:v>
      </x:c>
      <x:c r="C23" s="46" t="str">
        <x:v>Descripció</x:v>
      </x:c>
      <x:c r="D23" s="46" t="str">
        <x:v>Quant.</x:v>
      </x:c>
      <x:c r="E23" s="46" t="str">
        <x:v>Unitat</x:v>
      </x:c>
      <x:c r="F23" s="46" t="str">
        <x:v>Preu unit.</x:v>
      </x:c>
      <x:c r="G23" s="46" t="str">
        <x:v>Desc. %</x:v>
      </x:c>
      <x:c r="H23" s="46" t="str">
        <x:v>Total</x:v>
      </x:c>
      <x:c r="I23" s="46" t="str">
        <x:v>Notes</x:v>
      </x:c>
    </x:row>
    <x:row r="24" ht="20" customHeight="1">
      <x:c r="A24" s="73"/>
      <x:c r="B24" s="73"/>
      <x:c r="C24" s="73"/>
      <x:c r="D24" s="61"/>
      <x:c r="E24" s="55"/>
      <x:c r="F24" s="63"/>
      <x:c r="G24" s="69"/>
      <x:c r="H24" s="65" t="str">
        <x:f>IF(OR(D24="",F24=""),"",ROUND(D24*F24*(1-IF(G24="",0,G24)),2))</x:f>
      </x:c>
      <x:c r="I24" s="73"/>
    </x:row>
    <x:row r="25" ht="20" customHeight="1">
      <x:c r="A25" s="73"/>
      <x:c r="B25" s="73"/>
      <x:c r="C25" s="73"/>
      <x:c r="D25" s="61"/>
      <x:c r="E25" s="55"/>
      <x:c r="F25" s="63"/>
      <x:c r="G25" s="69"/>
      <x:c r="H25" s="65" t="str">
        <x:f>IF(OR(D25="",F25=""),"",ROUND(D25*F25*(1-IF(G25="",0,G25)),2))</x:f>
      </x:c>
      <x:c r="I25" s="73"/>
    </x:row>
    <x:row r="26" ht="20" customHeight="1">
      <x:c r="A26" s="73"/>
      <x:c r="B26" s="73"/>
      <x:c r="C26" s="73"/>
      <x:c r="D26" s="61"/>
      <x:c r="E26" s="55"/>
      <x:c r="F26" s="63"/>
      <x:c r="G26" s="69"/>
      <x:c r="H26" s="65" t="str">
        <x:f>IF(OR(D26="",F26=""),"",ROUND(D26*F26*(1-IF(G26="",0,G26)),2))</x:f>
      </x:c>
      <x:c r="I26" s="73"/>
    </x:row>
    <x:row r="27" ht="20" customHeight="1">
      <x:c r="A27" s="73"/>
      <x:c r="B27" s="73"/>
      <x:c r="C27" s="73"/>
      <x:c r="D27" s="61"/>
      <x:c r="E27" s="55"/>
      <x:c r="F27" s="63"/>
      <x:c r="G27" s="69"/>
      <x:c r="H27" s="65" t="str">
        <x:f>IF(OR(D27="",F27=""),"",ROUND(D27*F27*(1-IF(G27="",0,G27)),2))</x:f>
      </x:c>
      <x:c r="I27" s="73"/>
    </x:row>
    <x:row r="28" ht="20" customHeight="1">
      <x:c r="A28" s="73"/>
      <x:c r="B28" s="73"/>
      <x:c r="C28" s="73"/>
      <x:c r="D28" s="61"/>
      <x:c r="E28" s="55"/>
      <x:c r="F28" s="63"/>
      <x:c r="G28" s="69"/>
      <x:c r="H28" s="65" t="str">
        <x:f>IF(OR(D28="",F28=""),"",ROUND(D28*F28*(1-IF(G28="",0,G28)),2))</x:f>
      </x:c>
      <x:c r="I28" s="73"/>
    </x:row>
    <x:row r="29" ht="20" customHeight="1">
      <x:c r="A29" s="73"/>
      <x:c r="B29" s="73"/>
      <x:c r="C29" s="73"/>
      <x:c r="D29" s="61"/>
      <x:c r="E29" s="55"/>
      <x:c r="F29" s="63"/>
      <x:c r="G29" s="69"/>
      <x:c r="H29" s="65" t="str">
        <x:f>IF(OR(D29="",F29=""),"",ROUND(D29*F29*(1-IF(G29="",0,G29)),2))</x:f>
      </x:c>
      <x:c r="I29" s="73"/>
    </x:row>
    <x:row r="30" ht="20" customHeight="1">
      <x:c r="A30" s="73"/>
      <x:c r="B30" s="73"/>
      <x:c r="C30" s="73"/>
      <x:c r="D30" s="61"/>
      <x:c r="E30" s="55"/>
      <x:c r="F30" s="63"/>
      <x:c r="G30" s="69"/>
      <x:c r="H30" s="65" t="str">
        <x:f>IF(OR(D30="",F30=""),"",ROUND(D30*F30*(1-IF(G30="",0,G30)),2))</x:f>
      </x:c>
      <x:c r="I30" s="73"/>
    </x:row>
    <x:row r="31" ht="20" customHeight="1">
      <x:c r="A31" s="73"/>
      <x:c r="B31" s="73"/>
      <x:c r="C31" s="73"/>
      <x:c r="D31" s="61"/>
      <x:c r="E31" s="55"/>
      <x:c r="F31" s="63"/>
      <x:c r="G31" s="69"/>
      <x:c r="H31" s="65" t="str">
        <x:f>IF(OR(D31="",F31=""),"",ROUND(D31*F31*(1-IF(G31="",0,G31)),2))</x:f>
      </x:c>
      <x:c r="I31" s="73"/>
    </x:row>
    <x:row r="32" ht="20" customHeight="1">
      <x:c r="A32" s="73"/>
      <x:c r="B32" s="73"/>
      <x:c r="C32" s="73"/>
      <x:c r="D32" s="61"/>
      <x:c r="E32" s="55"/>
      <x:c r="F32" s="63"/>
      <x:c r="G32" s="69"/>
      <x:c r="H32" s="65" t="str">
        <x:f>IF(OR(D32="",F32=""),"",ROUND(D32*F32*(1-IF(G32="",0,G32)),2))</x:f>
      </x:c>
      <x:c r="I32" s="73"/>
    </x:row>
    <x:row r="33" ht="20" customHeight="1">
      <x:c r="A33" s="73"/>
      <x:c r="B33" s="73"/>
      <x:c r="C33" s="73"/>
      <x:c r="D33" s="61"/>
      <x:c r="E33" s="55"/>
      <x:c r="F33" s="63"/>
      <x:c r="G33" s="69"/>
      <x:c r="H33" s="65" t="str">
        <x:f>IF(OR(D33="",F33=""),"",ROUND(D33*F33*(1-IF(G33="",0,G33)),2))</x:f>
      </x:c>
      <x:c r="I33" s="73"/>
    </x:row>
    <x:row r="34" ht="20" customHeight="1">
      <x:c r="A34" s="73"/>
      <x:c r="B34" s="73"/>
      <x:c r="C34" s="73"/>
      <x:c r="D34" s="61"/>
      <x:c r="E34" s="55"/>
      <x:c r="F34" s="63"/>
      <x:c r="G34" s="69"/>
      <x:c r="H34" s="65" t="str">
        <x:f>IF(OR(D34="",F34=""),"",ROUND(D34*F34*(1-IF(G34="",0,G34)),2))</x:f>
      </x:c>
      <x:c r="I34" s="73"/>
    </x:row>
    <x:row r="35" ht="20" customHeight="1">
      <x:c r="A35" s="73"/>
      <x:c r="B35" s="73"/>
      <x:c r="C35" s="73"/>
      <x:c r="D35" s="61"/>
      <x:c r="E35" s="55"/>
      <x:c r="F35" s="63"/>
      <x:c r="G35" s="69"/>
      <x:c r="H35" s="65" t="str">
        <x:f>IF(OR(D35="",F35=""),"",ROUND(D35*F35*(1-IF(G35="",0,G35)),2))</x:f>
      </x:c>
      <x:c r="I35" s="73"/>
    </x:row>
    <x:row r="36" ht="20" customHeight="1">
      <x:c r="A36" s="73"/>
      <x:c r="B36" s="73"/>
      <x:c r="C36" s="73"/>
      <x:c r="D36" s="61"/>
      <x:c r="E36" s="55"/>
      <x:c r="F36" s="63"/>
      <x:c r="G36" s="69"/>
      <x:c r="H36" s="65" t="str">
        <x:f>IF(OR(D36="",F36=""),"",ROUND(D36*F36*(1-IF(G36="",0,G36)),2))</x:f>
      </x:c>
      <x:c r="I36" s="73"/>
    </x:row>
    <x:row r="37" ht="20" customHeight="1">
      <x:c r="A37" s="73"/>
      <x:c r="B37" s="73"/>
      <x:c r="C37" s="73"/>
      <x:c r="D37" s="61"/>
      <x:c r="E37" s="55"/>
      <x:c r="F37" s="63"/>
      <x:c r="G37" s="69"/>
      <x:c r="H37" s="65" t="str">
        <x:f>IF(OR(D37="",F37=""),"",ROUND(D37*F37*(1-IF(G37="",0,G37)),2))</x:f>
      </x:c>
      <x:c r="I37" s="73"/>
    </x:row>
    <x:row r="38" ht="20" customHeight="1">
      <x:c r="A38" s="73"/>
      <x:c r="B38" s="73"/>
      <x:c r="C38" s="73"/>
      <x:c r="D38" s="61"/>
      <x:c r="E38" s="55"/>
      <x:c r="F38" s="63"/>
      <x:c r="G38" s="69"/>
      <x:c r="H38" s="65" t="str">
        <x:f>IF(OR(D38="",F38=""),"",ROUND(D38*F38*(1-IF(G38="",0,G38)),2))</x:f>
      </x:c>
      <x:c r="I38" s="73"/>
    </x:row>
    <x:row r="39" ht="20" customHeight="1">
      <x:c r="A39" s="73"/>
      <x:c r="B39" s="73"/>
      <x:c r="C39" s="73"/>
      <x:c r="D39" s="61"/>
      <x:c r="E39" s="55"/>
      <x:c r="F39" s="63"/>
      <x:c r="G39" s="69"/>
      <x:c r="H39" s="65" t="str">
        <x:f>IF(OR(D39="",F39=""),"",ROUND(D39*F39*(1-IF(G39="",0,G39)),2))</x:f>
      </x:c>
      <x:c r="I39" s="73"/>
    </x:row>
    <x:row r="40" ht="20" customHeight="1">
      <x:c r="A40" s="73"/>
      <x:c r="B40" s="73"/>
      <x:c r="C40" s="73"/>
      <x:c r="D40" s="61"/>
      <x:c r="E40" s="55"/>
      <x:c r="F40" s="63"/>
      <x:c r="G40" s="69"/>
      <x:c r="H40" s="65" t="str">
        <x:f>IF(OR(D40="",F40=""),"",ROUND(D40*F40*(1-IF(G40="",0,G40)),2))</x:f>
      </x:c>
      <x:c r="I40" s="73"/>
    </x:row>
    <x:row r="41" ht="20" customHeight="1">
      <x:c r="A41" s="73"/>
      <x:c r="B41" s="73"/>
      <x:c r="C41" s="73"/>
      <x:c r="D41" s="61"/>
      <x:c r="E41" s="55"/>
      <x:c r="F41" s="63"/>
      <x:c r="G41" s="69"/>
      <x:c r="H41" s="65" t="str">
        <x:f>IF(OR(D41="",F41=""),"",ROUND(D41*F41*(1-IF(G41="",0,G41)),2))</x:f>
      </x:c>
      <x:c r="I41" s="73"/>
    </x:row>
    <x:row r="42" ht="20" customHeight="1">
      <x:c r="A42" s="73"/>
      <x:c r="B42" s="73"/>
      <x:c r="C42" s="73"/>
      <x:c r="D42" s="61"/>
      <x:c r="E42" s="55"/>
      <x:c r="F42" s="63"/>
      <x:c r="G42" s="69"/>
      <x:c r="H42" s="65" t="str">
        <x:f>IF(OR(D42="",F42=""),"",ROUND(D42*F42*(1-IF(G42="",0,G42)),2))</x:f>
      </x:c>
      <x:c r="I42" s="73"/>
    </x:row>
    <x:row r="43" ht="20" customHeight="1">
      <x:c r="A43" s="73"/>
      <x:c r="B43" s="73"/>
      <x:c r="C43" s="73"/>
      <x:c r="D43" s="61"/>
      <x:c r="E43" s="55"/>
      <x:c r="F43" s="63"/>
      <x:c r="G43" s="69"/>
      <x:c r="H43" s="65" t="str">
        <x:f>IF(OR(D43="",F43=""),"",ROUND(D43*F43*(1-IF(G43="",0,G43)),2))</x:f>
      </x:c>
      <x:c r="I43" s="73"/>
    </x:row>
    <x:row r="44" ht="20" customHeight="1">
      <x:c r="A44" s="73"/>
      <x:c r="B44" s="73"/>
      <x:c r="C44" s="73"/>
      <x:c r="D44" s="61"/>
      <x:c r="E44" s="55"/>
      <x:c r="F44" s="63"/>
      <x:c r="G44" s="69"/>
      <x:c r="H44" s="65" t="str">
        <x:f>IF(OR(D44="",F44=""),"",ROUND(D44*F44*(1-IF(G44="",0,G44)),2))</x:f>
      </x:c>
      <x:c r="I44" s="73"/>
    </x:row>
    <x:row r="45" ht="20" customHeight="1">
      <x:c r="A45" s="73"/>
      <x:c r="B45" s="73"/>
      <x:c r="C45" s="73"/>
      <x:c r="D45" s="61"/>
      <x:c r="E45" s="55"/>
      <x:c r="F45" s="63"/>
      <x:c r="G45" s="69"/>
      <x:c r="H45" s="65" t="str">
        <x:f>IF(OR(D45="",F45=""),"",ROUND(D45*F45*(1-IF(G45="",0,G45)),2))</x:f>
      </x:c>
      <x:c r="I45" s="73"/>
    </x:row>
    <x:row r="46" ht="20" customHeight="1">
      <x:c r="A46" s="73"/>
      <x:c r="B46" s="73"/>
      <x:c r="C46" s="73"/>
      <x:c r="D46" s="61"/>
      <x:c r="E46" s="55"/>
      <x:c r="F46" s="63"/>
      <x:c r="G46" s="69"/>
      <x:c r="H46" s="65" t="str">
        <x:f>IF(OR(D46="",F46=""),"",ROUND(D46*F46*(1-IF(G46="",0,G46)),2))</x:f>
      </x:c>
      <x:c r="I46" s="73"/>
    </x:row>
    <x:row r="47" ht="20" customHeight="1">
      <x:c r="A47" s="73"/>
      <x:c r="B47" s="73"/>
      <x:c r="C47" s="73"/>
      <x:c r="D47" s="61"/>
      <x:c r="E47" s="55"/>
      <x:c r="F47" s="63"/>
      <x:c r="G47" s="69"/>
      <x:c r="H47" s="65" t="str">
        <x:f>IF(OR(D47="",F47=""),"",ROUND(D47*F47*(1-IF(G47="",0,G47)),2))</x:f>
      </x:c>
      <x:c r="I47" s="73"/>
    </x:row>
    <x:row r="48" ht="20" customHeight="1">
      <x:c r="A48" s="73"/>
      <x:c r="B48" s="73"/>
      <x:c r="C48" s="73"/>
      <x:c r="D48" s="61"/>
      <x:c r="E48" s="55"/>
      <x:c r="F48" s="63"/>
      <x:c r="G48" s="69"/>
      <x:c r="H48" s="65" t="str">
        <x:f>IF(OR(D48="",F48=""),"",ROUND(D48*F48*(1-IF(G48="",0,G48)),2))</x:f>
      </x:c>
      <x:c r="I48" s="73"/>
    </x:row>
    <x:row r="49" ht="20" customHeight="1"/>
    <x:row r="50" ht="24" customHeight="1">
      <x:c r="A50" s="18" t="str">
        <x:v>MÀ D'OBRA I ALTRES</x:v>
      </x:c>
    </x:row>
    <x:row r="51" ht="20" customHeight="1">
      <x:c r="A51" s="46" t="str">
        <x:v>Tipus</x:v>
      </x:c>
      <x:c r="B51" s="46" t="str">
        <x:v>Codi / Ref.</x:v>
      </x:c>
      <x:c r="C51" s="46" t="str">
        <x:v>Descripció</x:v>
      </x:c>
      <x:c r="D51" s="46" t="str">
        <x:v>Quant.</x:v>
      </x:c>
      <x:c r="E51" s="46" t="str">
        <x:v>Unitat</x:v>
      </x:c>
      <x:c r="F51" s="46" t="str">
        <x:v>Preu unit.</x:v>
      </x:c>
      <x:c r="G51" s="46" t="str">
        <x:v>Desc. %</x:v>
      </x:c>
      <x:c r="H51" s="46" t="str">
        <x:v>Total</x:v>
      </x:c>
      <x:c r="I51" s="46" t="str">
        <x:v>Notes</x:v>
      </x:c>
    </x:row>
    <x:row r="52" ht="20" customHeight="1">
      <x:c r="A52" s="73"/>
      <x:c r="B52" s="73"/>
      <x:c r="C52" s="73"/>
      <x:c r="D52" s="61"/>
      <x:c r="E52" s="55"/>
      <x:c r="F52" s="63"/>
      <x:c r="G52" s="69"/>
      <x:c r="H52" s="65" t="str">
        <x:f>IF(OR(D52="",F52=""),"",ROUND(D52*F52*(1-IF(G52="",0,G52)),2))</x:f>
      </x:c>
      <x:c r="I52" s="73"/>
    </x:row>
    <x:row r="53" ht="20" customHeight="1">
      <x:c r="A53" s="73"/>
      <x:c r="B53" s="73"/>
      <x:c r="C53" s="73"/>
      <x:c r="D53" s="61"/>
      <x:c r="E53" s="55"/>
      <x:c r="F53" s="63"/>
      <x:c r="G53" s="69"/>
      <x:c r="H53" s="65" t="str">
        <x:f>IF(OR(D53="",F53=""),"",ROUND(D53*F53*(1-IF(G53="",0,G53)),2))</x:f>
      </x:c>
      <x:c r="I53" s="73"/>
    </x:row>
    <x:row r="54" ht="20" customHeight="1">
      <x:c r="A54" s="73"/>
      <x:c r="B54" s="73"/>
      <x:c r="C54" s="73"/>
      <x:c r="D54" s="61"/>
      <x:c r="E54" s="55"/>
      <x:c r="F54" s="63"/>
      <x:c r="G54" s="69"/>
      <x:c r="H54" s="65" t="str">
        <x:f>IF(OR(D54="",F54=""),"",ROUND(D54*F54*(1-IF(G54="",0,G54)),2))</x:f>
      </x:c>
      <x:c r="I54" s="73"/>
    </x:row>
    <x:row r="55" ht="20" customHeight="1">
      <x:c r="A55" s="73"/>
      <x:c r="B55" s="73"/>
      <x:c r="C55" s="73"/>
      <x:c r="D55" s="61"/>
      <x:c r="E55" s="55"/>
      <x:c r="F55" s="63"/>
      <x:c r="G55" s="69"/>
      <x:c r="H55" s="65" t="str">
        <x:f>IF(OR(D55="",F55=""),"",ROUND(D55*F55*(1-IF(G55="",0,G55)),2))</x:f>
      </x:c>
      <x:c r="I55" s="73"/>
    </x:row>
    <x:row r="56" ht="20" customHeight="1">
      <x:c r="A56" s="73"/>
      <x:c r="B56" s="73"/>
      <x:c r="C56" s="73"/>
      <x:c r="D56" s="61"/>
      <x:c r="E56" s="55"/>
      <x:c r="F56" s="63"/>
      <x:c r="G56" s="69"/>
      <x:c r="H56" s="65" t="str">
        <x:f>IF(OR(D56="",F56=""),"",ROUND(D56*F56*(1-IF(G56="",0,G56)),2))</x:f>
      </x:c>
      <x:c r="I56" s="73"/>
    </x:row>
    <x:row r="57" ht="20" customHeight="1">
      <x:c r="A57" s="73"/>
      <x:c r="B57" s="73"/>
      <x:c r="C57" s="73"/>
      <x:c r="D57" s="61"/>
      <x:c r="E57" s="55"/>
      <x:c r="F57" s="63"/>
      <x:c r="G57" s="69"/>
      <x:c r="H57" s="65" t="str">
        <x:f>IF(OR(D57="",F57=""),"",ROUND(D57*F57*(1-IF(G57="",0,G57)),2))</x:f>
      </x:c>
      <x:c r="I57" s="73"/>
    </x:row>
    <x:row r="58" ht="20" customHeight="1">
      <x:c r="A58" s="73"/>
      <x:c r="B58" s="73"/>
      <x:c r="C58" s="73"/>
      <x:c r="D58" s="61"/>
      <x:c r="E58" s="55"/>
      <x:c r="F58" s="63"/>
      <x:c r="G58" s="69"/>
      <x:c r="H58" s="65" t="str">
        <x:f>IF(OR(D58="",F58=""),"",ROUND(D58*F58*(1-IF(G58="",0,G58)),2))</x:f>
      </x:c>
      <x:c r="I58" s="73"/>
    </x:row>
    <x:row r="59" ht="20" customHeight="1">
      <x:c r="A59" s="73"/>
      <x:c r="B59" s="73"/>
      <x:c r="C59" s="73"/>
      <x:c r="D59" s="61"/>
      <x:c r="E59" s="55"/>
      <x:c r="F59" s="63"/>
      <x:c r="G59" s="69"/>
      <x:c r="H59" s="65" t="str">
        <x:f>IF(OR(D59="",F59=""),"",ROUND(D59*F59*(1-IF(G59="",0,G59)),2))</x:f>
      </x:c>
      <x:c r="I59" s="73"/>
    </x:row>
    <x:row r="60" ht="20" customHeight="1">
      <x:c r="A60" s="73"/>
      <x:c r="B60" s="73"/>
      <x:c r="C60" s="73"/>
      <x:c r="D60" s="61"/>
      <x:c r="E60" s="55"/>
      <x:c r="F60" s="63"/>
      <x:c r="G60" s="69"/>
      <x:c r="H60" s="65" t="str">
        <x:f>IF(OR(D60="",F60=""),"",ROUND(D60*F60*(1-IF(G60="",0,G60)),2))</x:f>
      </x:c>
      <x:c r="I60" s="73"/>
    </x:row>
    <x:row r="61" ht="20" customHeight="1">
      <x:c r="A61" s="73"/>
      <x:c r="B61" s="73"/>
      <x:c r="C61" s="73"/>
      <x:c r="D61" s="61"/>
      <x:c r="E61" s="55"/>
      <x:c r="F61" s="63"/>
      <x:c r="G61" s="69"/>
      <x:c r="H61" s="65" t="str">
        <x:f>IF(OR(D61="",F61=""),"",ROUND(D61*F61*(1-IF(G61="",0,G61)),2))</x:f>
      </x:c>
      <x:c r="I61" s="73"/>
    </x:row>
    <x:row r="62" ht="20" customHeight="1"/>
    <x:row r="63" ht="20" customHeight="1"/>
    <x:row r="64" ht="24" customHeight="1">
      <x:c r="A64" s="18" t="str">
        <x:v>NOTES I CONDICIONS</x:v>
      </x:c>
      <x:c r="F64" s="18" t="str">
        <x:v>RESUM ECONÒMIC</x:v>
      </x:c>
    </x:row>
    <x:row r="65" ht="20" customHeight="1">
      <x:c r="A65" s="95" t="str">
        <x:v>Aquest document és una valoració generada automàticament i pendent de revisió final per part de Burgas. Els imports són modificables: si es canvien quantitats, preus, descomptes o percentatges, els totals es recalculen automàticament.</x:v>
      </x:c>
      <x:c r="B65" s="95"/>
      <x:c r="C65" s="95"/>
      <x:c r="D65" s="95"/>
      <x:c r="F65" s="75" t="str">
        <x:v>Subtotal equip</x:v>
      </x:c>
      <x:c r="G65" s="48" t="str"/>
      <x:c r="H65" s="48" t="str"/>
      <x:c r="I65" s="81" t="n">
        <x:f>SUM(H16:H20)</x:f>
        <x:v>0</x:v>
      </x:c>
    </x:row>
    <x:row r="66" ht="20" customHeight="1">
      <x:c r="A66" s="95"/>
      <x:c r="B66" s="95"/>
      <x:c r="C66" s="95"/>
      <x:c r="D66" s="95"/>
      <x:c r="F66" s="75" t="str">
        <x:v>Subtotal materials</x:v>
      </x:c>
      <x:c r="G66" s="48" t="str"/>
      <x:c r="H66" s="48" t="str"/>
      <x:c r="I66" s="81" t="n">
        <x:f>SUM(H24:H48)</x:f>
        <x:v>0</x:v>
      </x:c>
    </x:row>
    <x:row r="67" ht="20" customHeight="1">
      <x:c r="A67" s="95"/>
      <x:c r="B67" s="95"/>
      <x:c r="C67" s="95"/>
      <x:c r="D67" s="95"/>
      <x:c r="F67" s="75" t="str">
        <x:v>Descompte materials</x:v>
      </x:c>
      <x:c r="G67" s="48" t="str"/>
      <x:c r="H67" s="77" t="n">
        <x:v>0</x:v>
      </x:c>
      <x:c r="I67" s="81" t="n">
        <x:f>ROUND(I66*H67,2)</x:f>
        <x:v>0</x:v>
      </x:c>
    </x:row>
    <x:row r="68" ht="20" customHeight="1">
      <x:c r="A68" s="95"/>
      <x:c r="B68" s="95"/>
      <x:c r="C68" s="95"/>
      <x:c r="D68" s="95"/>
      <x:c r="F68" s="75" t="str">
        <x:v>Subtotal materials final</x:v>
      </x:c>
      <x:c r="G68" s="48" t="str"/>
      <x:c r="H68" s="77" t="str"/>
      <x:c r="I68" s="81" t="n">
        <x:f>I66-I67</x:f>
        <x:v>0</x:v>
      </x:c>
    </x:row>
    <x:row r="69" ht="20" customHeight="1">
      <x:c r="A69" s="95"/>
      <x:c r="B69" s="95"/>
      <x:c r="C69" s="95"/>
      <x:c r="D69" s="95"/>
      <x:c r="F69" s="75" t="str">
        <x:v>Mà d'obra i altres</x:v>
      </x:c>
      <x:c r="G69" s="48" t="str"/>
      <x:c r="H69" s="77" t="str"/>
      <x:c r="I69" s="81" t="n">
        <x:f>SUM(H52:H61)</x:f>
        <x:v>0</x:v>
      </x:c>
    </x:row>
    <x:row r="70" ht="20" customHeight="1">
      <x:c r="A70" s="95"/>
      <x:c r="B70" s="95"/>
      <x:c r="C70" s="95"/>
      <x:c r="D70" s="95"/>
      <x:c r="F70" s="75" t="str">
        <x:v>Increment material</x:v>
      </x:c>
      <x:c r="G70" s="48" t="str"/>
      <x:c r="H70" s="77" t="n">
        <x:v>0</x:v>
      </x:c>
      <x:c r="I70" s="81" t="n">
        <x:f>ROUND(I68*H70,2)</x:f>
        <x:v>0</x:v>
      </x:c>
    </x:row>
    <x:row r="71" ht="20" customHeight="1">
      <x:c r="A71" s="95"/>
      <x:c r="B71" s="95"/>
      <x:c r="C71" s="95"/>
      <x:c r="D71" s="95"/>
      <x:c r="F71" s="75" t="str">
        <x:v>Base imposable</x:v>
      </x:c>
      <x:c r="G71" s="48" t="str"/>
      <x:c r="H71" s="77" t="str"/>
      <x:c r="I71" s="81" t="n">
        <x:f>SUM(I65,I68,I69,I70)</x:f>
        <x:v>0</x:v>
      </x:c>
    </x:row>
    <x:row r="72" ht="20" customHeight="1">
      <x:c r="A72" s="95"/>
      <x:c r="B72" s="95"/>
      <x:c r="C72" s="95"/>
      <x:c r="D72" s="95"/>
      <x:c r="F72" s="75" t="str">
        <x:v>IVA</x:v>
      </x:c>
      <x:c r="G72" s="48" t="str"/>
      <x:c r="H72" s="77" t="n">
        <x:v>0.21</x:v>
      </x:c>
      <x:c r="I72" s="81" t="n">
        <x:f>ROUND(I71*H72,2)</x:f>
        <x:v>0</x:v>
      </x:c>
    </x:row>
    <x:row r="73" ht="20" customHeight="1">
      <x:c r="A73" s="95"/>
      <x:c r="B73" s="95"/>
      <x:c r="C73" s="95"/>
      <x:c r="D73" s="95"/>
      <x:c r="F73" s="16" t="str">
        <x:v>TOTAL PRESSUPOST</x:v>
      </x:c>
      <x:c r="G73" s="16" t="str"/>
      <x:c r="H73" s="89" t="str"/>
      <x:c r="I73" s="90" t="n">
        <x:f>I71+I72</x:f>
        <x:v>0</x:v>
      </x:c>
    </x:row>
    <x:row r="74" ht="28" customHeight="1">
      <x:c r="A74" s="95"/>
      <x:c r="B74" s="95"/>
      <x:c r="C74" s="95"/>
      <x:c r="D74" s="95"/>
      <x:c r="F74" s="2"/>
      <x:c r="G74" s="2"/>
      <x:c r="H74" s="2"/>
      <x:c r="I74" s="67"/>
    </x:row>
    <x:row r="75" ht="20" customHeight="1"/>
    <x:row r="76" ht="20" customHeight="1"/>
    <x:row r="77" ht="20" customHeight="1">
      <x:c r="A77" s="101" t="str">
        <x:v>Instal·lacions Burgas · Aigua · Calefacció · Aire condicionat · Electricitat · Gas · Solar</x:v>
      </x:c>
      <x:c r="B77" s="101" t="str"/>
      <x:c r="C77" s="101" t="str"/>
      <x:c r="D77" s="101" t="str"/>
      <x:c r="E77" s="101" t="str"/>
      <x:c r="F77" s="101" t="str"/>
      <x:c r="G77" s="101" t="str"/>
      <x:c r="H77" s="101" t="str"/>
      <x:c r="I77" s="101" t="str"/>
    </x:row>
    <x:row r="78" ht="20" customHeight="1"/>
    <x:row r="79" ht="20" customHeight="1"/>
  </x:sheetData>
  <x:mergeCells>
    <x:mergeCell ref="A1:E4"/>
    <x:mergeCell ref="F1:I1"/>
    <x:mergeCell ref="F2:I2"/>
    <x:mergeCell ref="A6:I6"/>
    <x:mergeCell ref="B7:D7"/>
    <x:mergeCell ref="F7:I7"/>
    <x:mergeCell ref="B8:D8"/>
    <x:mergeCell ref="F8:I8"/>
    <x:mergeCell ref="B9:I9"/>
    <x:mergeCell ref="B10:D10"/>
    <x:mergeCell ref="H10:I10"/>
    <x:mergeCell ref="B12:I12"/>
    <x:mergeCell ref="A14:I14"/>
    <x:mergeCell ref="A22:I22"/>
    <x:mergeCell ref="A50:I50"/>
    <x:mergeCell ref="A64:D64"/>
    <x:mergeCell ref="F64:I64"/>
    <x:mergeCell ref="A65:D74"/>
    <x:mergeCell ref="F74:H74"/>
  </x:mergeCells>
  <x:dataValidations count="3">
    <x:dataValidation type="list" sqref="E16:E20">
      <x:formula1>"ud,ml,m,h,%"</x:formula1>
    </x:dataValidation>
    <x:dataValidation type="list" sqref="E24:E48">
      <x:formula1>"ud,ml,m,h,%"</x:formula1>
    </x:dataValidation>
    <x:dataValidation type="list" sqref="E52:E61">
      <x:formula1>"ud,ml,m,h,%"</x:formula1>
    </x:dataValidation>
  </x:dataValidations>
  <x:pageMargins left="0.7" right="0.7" top="0.75" bottom="0.75" header="0.3" footer="0.3"/>
  <x:drawing xmlns:r="http://schemas.openxmlformats.org/officeDocument/2006/relationships" r:id="R6c71149b19674d00"/>
</x:worksheet>
</file>