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OPCIÓ C" sheetId="1" state="visible" r:id="rId1"/>
  </sheets>
  <definedNames>
    <definedName name="_xlnm.Print_Area" localSheetId="0">'OPCIÓ C'!$A$1:$E$31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#,##0\ &quot;Pts&quot;"/>
    <numFmt numFmtId="165" formatCode="#,###\ &quot;Pts&quot;"/>
    <numFmt numFmtId="166" formatCode="#,###\ &quot;€&quot;"/>
    <numFmt numFmtId="167" formatCode="##,##0.00\ &quot;€&quot;"/>
    <numFmt numFmtId="168" formatCode="#,###.00\ &quot;€&quot;"/>
    <numFmt numFmtId="169" formatCode="#,##0.00\ &quot;€&quot;"/>
  </numFmts>
  <fonts count="11">
    <font>
      <name val="MS Sans Serif"/>
      <sz val="10"/>
    </font>
    <font>
      <name val="MS Sans Serif"/>
      <family val="2"/>
      <sz val="10"/>
    </font>
    <font>
      <name val="Calibri"/>
      <family val="2"/>
      <b val="1"/>
      <i val="1"/>
      <sz val="12"/>
    </font>
    <font>
      <name val="Calibri"/>
      <family val="2"/>
      <b val="1"/>
      <i val="1"/>
      <color indexed="17"/>
      <sz val="12"/>
    </font>
    <font>
      <name val="Calibri"/>
      <family val="2"/>
      <sz val="12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2"/>
      <u val="single"/>
      <scheme val="minor"/>
    </font>
    <font>
      <name val="Calibri"/>
      <family val="2"/>
      <b val="1"/>
      <i val="1"/>
      <color rgb="FF00B050"/>
      <sz val="12"/>
      <scheme val="minor"/>
    </font>
    <font>
      <name val="Calibri"/>
      <family val="2"/>
      <b val="1"/>
      <sz val="12"/>
      <scheme val="minor"/>
    </font>
    <font>
      <name val="Calibri"/>
      <family val="2"/>
      <b val="1"/>
      <i val="1"/>
      <sz val="12"/>
      <u val="single"/>
      <scheme val="minor"/>
    </font>
    <font>
      <name val="Calibri"/>
      <family val="2"/>
      <b val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4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4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9" fontId="4" fillId="0" borderId="0" applyAlignment="1" pivotButton="0" quotePrefix="0" xfId="1">
      <alignment horizontal="center"/>
    </xf>
    <xf numFmtId="0" fontId="4" fillId="0" borderId="0" applyAlignment="1" pivotButton="0" quotePrefix="0" xfId="0">
      <alignment horizontal="left"/>
    </xf>
    <xf numFmtId="164" fontId="4" fillId="0" borderId="0" pivotButton="0" quotePrefix="0" xfId="0"/>
    <xf numFmtId="165" fontId="4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center"/>
    </xf>
    <xf numFmtId="0" fontId="7" fillId="0" borderId="0" pivotButton="0" quotePrefix="0" xfId="0"/>
    <xf numFmtId="166" fontId="4" fillId="0" borderId="0" applyAlignment="1" pivotButton="0" quotePrefix="0" xfId="0">
      <alignment horizontal="right"/>
    </xf>
    <xf numFmtId="9" fontId="4" fillId="0" borderId="0" applyAlignment="1" pivotButton="0" quotePrefix="0" xfId="0">
      <alignment horizontal="center"/>
    </xf>
    <xf numFmtId="167" fontId="4" fillId="0" borderId="0" pivotButton="0" quotePrefix="0" xfId="0"/>
    <xf numFmtId="168" fontId="4" fillId="0" borderId="0" applyAlignment="1" pivotButton="0" quotePrefix="0" xfId="0">
      <alignment horizontal="right"/>
    </xf>
    <xf numFmtId="0" fontId="8" fillId="0" borderId="0" pivotButton="0" quotePrefix="0" xfId="0"/>
    <xf numFmtId="169" fontId="8" fillId="0" borderId="0" applyAlignment="1" pivotButton="0" quotePrefix="0" xfId="0">
      <alignment horizontal="right"/>
    </xf>
    <xf numFmtId="9" fontId="8" fillId="0" borderId="0" pivotButton="0" quotePrefix="0" xfId="0"/>
    <xf numFmtId="168" fontId="4" fillId="0" borderId="0" pivotButton="0" quotePrefix="0" xfId="0"/>
    <xf numFmtId="169" fontId="9" fillId="2" borderId="0" applyAlignment="1" pivotButton="0" quotePrefix="0" xfId="0">
      <alignment horizontal="right"/>
    </xf>
    <xf numFmtId="0" fontId="8" fillId="0" borderId="0" applyAlignment="1" pivotButton="0" quotePrefix="1" xfId="0">
      <alignment horizontal="center"/>
    </xf>
    <xf numFmtId="0" fontId="9" fillId="0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right" vertical="center"/>
    </xf>
    <xf numFmtId="0" fontId="5" fillId="3" borderId="0" pivotButton="0" quotePrefix="0" xfId="0"/>
    <xf numFmtId="169" fontId="4" fillId="0" borderId="0" applyAlignment="1" pivotButton="0" quotePrefix="0" xfId="0">
      <alignment horizontal="left"/>
    </xf>
    <xf numFmtId="169" fontId="4" fillId="0" borderId="0" pivotButton="0" quotePrefix="0" xfId="0"/>
    <xf numFmtId="0" fontId="1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9" fillId="0" borderId="0" applyAlignment="1" pivotButton="0" quotePrefix="0" xfId="0">
      <alignment horizontal="left"/>
    </xf>
    <xf numFmtId="0" fontId="6" fillId="0" borderId="0" pivotButton="0" quotePrefix="0" xfId="0"/>
    <xf numFmtId="169" fontId="9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164" fontId="4" fillId="0" borderId="0" pivotButton="0" quotePrefix="0" xfId="0"/>
    <xf numFmtId="165" fontId="4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67" fontId="4" fillId="0" borderId="0" pivotButton="0" quotePrefix="0" xfId="0"/>
    <xf numFmtId="169" fontId="4" fillId="0" borderId="0" applyAlignment="1" pivotButton="0" quotePrefix="0" xfId="0">
      <alignment horizontal="left"/>
    </xf>
    <xf numFmtId="169" fontId="4" fillId="0" borderId="0" pivotButton="0" quotePrefix="0" xfId="0"/>
    <xf numFmtId="168" fontId="4" fillId="0" borderId="0" applyAlignment="1" pivotButton="0" quotePrefix="0" xfId="0">
      <alignment horizontal="right"/>
    </xf>
    <xf numFmtId="168" fontId="4" fillId="0" borderId="0" applyAlignment="1" pivotButton="0" quotePrefix="0" xfId="0">
      <alignment horizontal="right" vertical="center"/>
    </xf>
    <xf numFmtId="169" fontId="8" fillId="0" borderId="0" applyAlignment="1" pivotButton="0" quotePrefix="0" xfId="0">
      <alignment horizontal="right"/>
    </xf>
    <xf numFmtId="168" fontId="4" fillId="0" borderId="0" pivotButton="0" quotePrefix="0" xfId="0"/>
    <xf numFmtId="169" fontId="9" fillId="2" borderId="0" applyAlignment="1" pivotButton="0" quotePrefix="0" xfId="0">
      <alignment horizontal="right"/>
    </xf>
    <xf numFmtId="169" fontId="9" fillId="0" borderId="0" applyAlignment="1" pivotButton="0" quotePrefix="0" xfId="0">
      <alignment horizontal="right"/>
    </xf>
  </cellXfs>
  <cellStyles count="2">
    <cellStyle name="Normal" xfId="0" builtinId="0"/>
    <cellStyle name="Porcentaje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6"/>
  <sheetViews>
    <sheetView tabSelected="1" zoomScaleNormal="100" workbookViewId="0">
      <selection activeCell="D3" sqref="D3"/>
    </sheetView>
  </sheetViews>
  <sheetFormatPr baseColWidth="10" defaultColWidth="10" defaultRowHeight="15.75"/>
  <cols>
    <col width="10.5703125" customWidth="1" style="35" min="1" max="1"/>
    <col width="51.140625" customWidth="1" style="30" min="2" max="2"/>
    <col width="17.28515625" customWidth="1" style="36" min="3" max="3"/>
    <col width="11.140625" customWidth="1" style="30" min="4" max="4"/>
    <col width="14" customWidth="1" style="30" min="5" max="5"/>
    <col width="17" customWidth="1" style="30" min="6" max="6"/>
    <col width="11.140625" customWidth="1" style="30" min="7" max="7"/>
    <col width="10" customWidth="1" style="30" min="8" max="16384"/>
  </cols>
  <sheetData>
    <row r="1" ht="15" customHeight="1">
      <c r="C1" s="2" t="n"/>
      <c r="D1" s="16" t="n"/>
    </row>
    <row r="2" ht="15" customHeight="1">
      <c r="C2" s="2" t="n"/>
      <c r="D2" s="16" t="n"/>
    </row>
    <row r="3" ht="15" customHeight="1">
      <c r="C3" s="2" t="n"/>
      <c r="D3" s="16" t="n"/>
    </row>
    <row r="4" ht="15" customHeight="1">
      <c r="C4" s="2" t="n"/>
      <c r="D4" s="16" t="n"/>
    </row>
    <row r="5" ht="15" customHeight="1">
      <c r="C5" s="2" t="n"/>
    </row>
    <row r="6" ht="15" customHeight="1">
      <c r="C6" s="2" t="n"/>
    </row>
    <row r="7" ht="15" customHeight="1">
      <c r="B7" s="29" t="n"/>
      <c r="C7" s="2" t="n"/>
    </row>
    <row r="8" ht="15" customHeight="1">
      <c r="B8" s="29" t="n"/>
      <c r="C8" s="2" t="n"/>
    </row>
    <row r="9" ht="15" customHeight="1">
      <c r="B9" s="29" t="n"/>
      <c r="C9" s="2" t="n"/>
    </row>
    <row r="10" ht="15" customHeight="1">
      <c r="C10" s="2" t="n"/>
    </row>
    <row r="11" ht="15" customHeight="1">
      <c r="C11" s="2" t="n"/>
    </row>
    <row r="12" ht="15" customHeight="1">
      <c r="B12" s="26" t="n"/>
      <c r="F12" s="3" t="n"/>
    </row>
    <row r="13" ht="15" customHeight="1">
      <c r="A13" s="4" t="n"/>
      <c r="B13" s="30" t="n"/>
      <c r="C13" s="37" t="n"/>
      <c r="F13" s="3" t="n"/>
    </row>
    <row r="14">
      <c r="A14" s="4" t="n"/>
      <c r="B14" s="2" t="n"/>
      <c r="C14" s="37" t="n"/>
      <c r="D14" s="38" t="n"/>
    </row>
    <row r="15" ht="15" customHeight="1">
      <c r="A15" s="4" t="n"/>
      <c r="B15" s="11" t="n"/>
      <c r="C15" s="39" t="n"/>
      <c r="D15" s="13" t="n"/>
      <c r="E15" s="40">
        <f>+C15*(1-D15)*A13</f>
        <v/>
      </c>
      <c r="F15" s="41" t="n"/>
      <c r="G15" s="42" t="n"/>
    </row>
    <row r="16" ht="15" customHeight="1">
      <c r="A16" s="4" t="n"/>
      <c r="B16" s="30" t="n"/>
      <c r="C16" s="43" t="n"/>
      <c r="D16" s="13" t="n"/>
      <c r="E16" s="40">
        <f>+C16*(1-D16)*A16</f>
        <v/>
      </c>
      <c r="F16" s="41" t="n"/>
      <c r="G16" s="42" t="n"/>
    </row>
    <row r="17" ht="15" customHeight="1">
      <c r="A17" s="4" t="n"/>
      <c r="B17" s="30" t="n"/>
      <c r="C17" s="43" t="n"/>
      <c r="D17" s="13" t="n"/>
      <c r="E17" s="40">
        <f>+C17*(1-D17)*A17</f>
        <v/>
      </c>
      <c r="F17" s="41" t="n"/>
      <c r="G17" s="42" t="n"/>
    </row>
    <row r="18" ht="15" customHeight="1">
      <c r="A18" s="24" t="n"/>
      <c r="B18" s="23" t="n"/>
      <c r="C18" s="44" t="n"/>
      <c r="D18" s="13" t="n"/>
      <c r="E18" s="40">
        <f>+C18*(1-D18)*A18</f>
        <v/>
      </c>
      <c r="F18" s="41" t="n"/>
      <c r="G18" s="42" t="n"/>
    </row>
    <row r="19" ht="15" customHeight="1">
      <c r="A19" s="4" t="n"/>
      <c r="B19" s="30" t="n"/>
      <c r="C19" s="43" t="n"/>
      <c r="D19" s="6" t="n"/>
      <c r="E19" s="40">
        <f>+C19*(1-D19)*A19</f>
        <v/>
      </c>
      <c r="F19" s="41" t="n"/>
      <c r="G19" s="42" t="n"/>
    </row>
    <row r="20" ht="15" customHeight="1">
      <c r="A20" s="4" t="n"/>
      <c r="B20" s="30" t="n"/>
      <c r="C20" s="43" t="n"/>
      <c r="D20" s="6" t="n"/>
      <c r="E20" s="40">
        <f>+C20*(1-D20)*A20</f>
        <v/>
      </c>
      <c r="F20" s="41" t="n"/>
      <c r="G20" s="42" t="n"/>
    </row>
    <row r="21">
      <c r="A21" s="4" t="n"/>
      <c r="B21" s="30" t="n"/>
      <c r="C21" s="43" t="n"/>
      <c r="D21" s="6" t="n"/>
      <c r="E21" s="40">
        <f>+C21*(1-D21)*A21</f>
        <v/>
      </c>
    </row>
    <row r="22">
      <c r="A22" s="4" t="n"/>
      <c r="C22" s="43" t="n"/>
      <c r="D22" s="6" t="n"/>
      <c r="E22" s="43" t="n"/>
    </row>
    <row r="23">
      <c r="A23" s="4" t="n"/>
      <c r="C23" s="16" t="n"/>
      <c r="E23" s="45">
        <f>SUM(E15:E22)</f>
        <v/>
      </c>
    </row>
    <row r="24">
      <c r="A24" s="4" t="n"/>
      <c r="C24" s="16" t="n"/>
      <c r="E24" s="36" t="n"/>
    </row>
    <row r="25">
      <c r="A25" s="4" t="n"/>
      <c r="B25" s="30" t="n"/>
      <c r="C25" s="43" t="n"/>
      <c r="E25" s="39">
        <f>A25*C25</f>
        <v/>
      </c>
    </row>
    <row r="26">
      <c r="A26" s="4" t="n"/>
      <c r="B26" s="30" t="n"/>
      <c r="C26" s="43" t="n"/>
      <c r="E26" s="39">
        <f>A26*C26</f>
        <v/>
      </c>
    </row>
    <row r="27">
      <c r="A27" s="4" t="n"/>
      <c r="B27" s="30" t="n"/>
      <c r="C27" s="43" t="n"/>
      <c r="E27" s="39">
        <f>A27*C27</f>
        <v/>
      </c>
    </row>
    <row r="28">
      <c r="A28" s="4" t="n"/>
      <c r="B28" s="30" t="n"/>
      <c r="C28" s="43" t="n"/>
      <c r="E28" s="39">
        <f>A28*C28</f>
        <v/>
      </c>
    </row>
    <row r="29">
      <c r="A29" s="4" t="n"/>
      <c r="B29" s="30" t="n"/>
      <c r="C29" s="18" t="n"/>
      <c r="E29" s="46">
        <f>+E23*C29</f>
        <v/>
      </c>
    </row>
    <row r="30">
      <c r="A30" s="4" t="n"/>
      <c r="C30" s="30" t="n"/>
      <c r="E30" s="46" t="n"/>
    </row>
    <row r="31">
      <c r="A31" s="30" t="n"/>
      <c r="C31" s="32" t="n"/>
      <c r="D31" s="33" t="n"/>
      <c r="E31" s="47">
        <f>SUM(E23:E30,)</f>
        <v/>
      </c>
      <c r="F31" s="21" t="n"/>
    </row>
    <row r="32"/>
    <row r="33"/>
    <row r="34">
      <c r="B34" s="26" t="n"/>
    </row>
    <row r="35">
      <c r="A35" s="4" t="n"/>
      <c r="B35" s="30" t="n"/>
      <c r="C35" s="37" t="n"/>
    </row>
    <row r="36">
      <c r="A36" s="4" t="n"/>
      <c r="B36" s="2" t="n"/>
      <c r="C36" s="37" t="n"/>
      <c r="D36" s="38" t="n"/>
    </row>
    <row r="37">
      <c r="A37" s="4" t="n"/>
      <c r="B37" s="11" t="n"/>
      <c r="C37" s="39" t="n"/>
      <c r="D37" s="13" t="n"/>
      <c r="E37" s="40">
        <f>+C37*(1-D37)*A35</f>
        <v/>
      </c>
    </row>
    <row r="38">
      <c r="A38" s="4" t="n"/>
      <c r="B38" s="30" t="n"/>
      <c r="C38" s="43" t="n"/>
      <c r="D38" s="13" t="n"/>
      <c r="E38" s="40">
        <f>+C38*(1-D38)*A38</f>
        <v/>
      </c>
    </row>
    <row r="39">
      <c r="A39" s="4" t="n"/>
      <c r="B39" s="30" t="n"/>
      <c r="C39" s="43" t="n"/>
      <c r="D39" s="13" t="n"/>
      <c r="E39" s="40">
        <f>+C39*(1-D39)*A39</f>
        <v/>
      </c>
    </row>
    <row r="40" ht="31.5" customHeight="1">
      <c r="A40" s="24" t="n"/>
      <c r="B40" s="23" t="n"/>
      <c r="C40" s="44" t="n"/>
      <c r="D40" s="13" t="n"/>
      <c r="E40" s="40">
        <f>+C40*(1-D40)*A40</f>
        <v/>
      </c>
    </row>
    <row r="41">
      <c r="A41" s="4" t="n"/>
      <c r="B41" s="30" t="n"/>
      <c r="C41" s="43" t="n"/>
      <c r="D41" s="6" t="n"/>
      <c r="E41" s="40">
        <f>+C41*(1-D41)*A41</f>
        <v/>
      </c>
    </row>
    <row r="42">
      <c r="A42" s="4" t="n"/>
      <c r="B42" s="30" t="n"/>
      <c r="C42" s="43" t="n"/>
      <c r="D42" s="6" t="n"/>
      <c r="E42" s="40">
        <f>+C42*(1-D42)*A42</f>
        <v/>
      </c>
    </row>
    <row r="43">
      <c r="A43" s="4" t="n"/>
      <c r="B43" s="30" t="n"/>
      <c r="C43" s="43" t="n"/>
      <c r="D43" s="6" t="n"/>
      <c r="E43" s="40">
        <f>+C43*(1-D43)*A43</f>
        <v/>
      </c>
    </row>
    <row r="44">
      <c r="A44" s="4" t="n"/>
      <c r="C44" s="43" t="n"/>
      <c r="D44" s="6" t="n"/>
      <c r="E44" s="43" t="n"/>
    </row>
    <row r="45">
      <c r="A45" s="4" t="n"/>
      <c r="C45" s="16" t="n"/>
      <c r="E45" s="45">
        <f>SUM(E37:E44)</f>
        <v/>
      </c>
    </row>
    <row r="46">
      <c r="A46" s="4" t="n"/>
      <c r="C46" s="16" t="n"/>
      <c r="E46" s="36" t="n"/>
    </row>
    <row r="47">
      <c r="A47" s="4" t="n"/>
      <c r="B47" s="30" t="n"/>
      <c r="C47" s="43" t="n"/>
      <c r="E47" s="39">
        <f>A47*C47</f>
        <v/>
      </c>
    </row>
    <row r="48">
      <c r="A48" s="4" t="n"/>
      <c r="B48" s="30" t="n"/>
      <c r="C48" s="43" t="n"/>
      <c r="E48" s="39">
        <f>A48*C48</f>
        <v/>
      </c>
    </row>
    <row r="49">
      <c r="A49" s="4" t="n"/>
      <c r="B49" s="30" t="n"/>
      <c r="C49" s="43" t="n"/>
      <c r="E49" s="39">
        <f>A49*C49</f>
        <v/>
      </c>
    </row>
    <row r="50">
      <c r="A50" s="4" t="n"/>
      <c r="B50" s="30" t="n"/>
      <c r="C50" s="43" t="n"/>
      <c r="E50" s="39">
        <f>A50*C50</f>
        <v/>
      </c>
    </row>
    <row r="51">
      <c r="A51" s="4" t="n"/>
      <c r="B51" s="30" t="n"/>
      <c r="C51" s="18" t="n"/>
      <c r="E51" s="46">
        <f>+E45*C51</f>
        <v/>
      </c>
    </row>
    <row r="52">
      <c r="A52" s="4" t="n"/>
      <c r="C52" s="30" t="n"/>
      <c r="E52" s="46" t="n"/>
    </row>
    <row r="53">
      <c r="A53" s="30" t="n"/>
      <c r="C53" s="32" t="n"/>
      <c r="D53" s="33" t="n"/>
      <c r="E53" s="47">
        <f>SUM(E45:E52,)</f>
        <v/>
      </c>
    </row>
    <row r="54">
      <c r="A54" s="30" t="n"/>
      <c r="B54" s="30" t="n"/>
      <c r="C54" s="32" t="n"/>
      <c r="D54" s="33" t="n"/>
      <c r="E54" s="48" t="n"/>
    </row>
    <row r="55">
      <c r="A55" s="35" t="n"/>
      <c r="B55" s="30" t="n"/>
      <c r="C55" s="36" t="n"/>
      <c r="D55" s="30" t="n"/>
      <c r="E55" s="30" t="n"/>
    </row>
    <row r="56">
      <c r="A56" s="35" t="n"/>
      <c r="B56" s="30" t="n"/>
      <c r="C56" s="36" t="n"/>
      <c r="D56" s="30" t="n"/>
      <c r="E56" s="30" t="n"/>
    </row>
  </sheetData>
  <pageMargins left="0.25" right="0.25" top="0.75" bottom="0.75" header="0.3" footer="0.3"/>
  <pageSetup orientation="portrait" paperSize="9" scale="97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CalyGas</dc:creator>
  <dcterms:created xmlns:dcterms="http://purl.org/dc/terms/" xmlns:xsi="http://www.w3.org/2001/XMLSchema-instance" xsi:type="dcterms:W3CDTF">1998-12-18T11:56:37Z</dcterms:created>
  <dcterms:modified xmlns:dcterms="http://purl.org/dc/terms/" xmlns:xsi="http://www.w3.org/2001/XMLSchema-instance" xsi:type="dcterms:W3CDTF">2026-06-16T23:14:47Z</dcterms:modified>
  <cp:lastModifiedBy>Usuario 02</cp:lastModifiedBy>
  <cp:lastPrinted>2026-04-22T07:18:19Z</cp:lastPrinted>
</cp:coreProperties>
</file>